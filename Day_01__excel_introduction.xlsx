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5c7b832c0e5f38/Documents/My projects/100-days-of-data-repository/"/>
    </mc:Choice>
  </mc:AlternateContent>
  <xr:revisionPtr revIDLastSave="10" documentId="8_{166FA2C6-E154-400C-9B96-16E123C2541D}" xr6:coauthVersionLast="47" xr6:coauthVersionMax="47" xr10:uidLastSave="{90A55DF0-6F80-4043-89EF-20953798E480}"/>
  <bookViews>
    <workbookView xWindow="8630" yWindow="380" windowWidth="10570" windowHeight="7270" xr2:uid="{7A30BAB1-110D-4B5F-BCCD-737F928A09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5" i="1" l="1"/>
  <c r="C14" i="1"/>
  <c r="C13" i="1"/>
  <c r="C12" i="1"/>
  <c r="D23" i="1"/>
  <c r="D22" i="1"/>
  <c r="D21" i="1"/>
  <c r="C19" i="1"/>
  <c r="C17" i="1"/>
  <c r="C18" i="1"/>
  <c r="C16" i="1"/>
  <c r="C11" i="1"/>
  <c r="C20" i="1"/>
</calcChain>
</file>

<file path=xl/sharedStrings.xml><?xml version="1.0" encoding="utf-8"?>
<sst xmlns="http://schemas.openxmlformats.org/spreadsheetml/2006/main" count="32" uniqueCount="28">
  <si>
    <t>NAME</t>
  </si>
  <si>
    <t>Department</t>
  </si>
  <si>
    <t>salary</t>
  </si>
  <si>
    <t>Gary Miller</t>
  </si>
  <si>
    <t>finance</t>
  </si>
  <si>
    <t>James willard</t>
  </si>
  <si>
    <t>sales</t>
  </si>
  <si>
    <t>Richard Elliot</t>
  </si>
  <si>
    <t>Finance</t>
  </si>
  <si>
    <t>Robert Spear</t>
  </si>
  <si>
    <t>Sales</t>
  </si>
  <si>
    <t>Romina Mun</t>
  </si>
  <si>
    <t>Paula Garza</t>
  </si>
  <si>
    <t>Robert Marquez</t>
  </si>
  <si>
    <t>Natalie porter</t>
  </si>
  <si>
    <t>procurement</t>
  </si>
  <si>
    <t xml:space="preserve">sum </t>
  </si>
  <si>
    <t>Avarage</t>
  </si>
  <si>
    <t>count salary</t>
  </si>
  <si>
    <t>count name</t>
  </si>
  <si>
    <t>min</t>
  </si>
  <si>
    <t>max</t>
  </si>
  <si>
    <t>average salary of sales</t>
  </si>
  <si>
    <t>of finance</t>
  </si>
  <si>
    <t>average salary for procurement</t>
  </si>
  <si>
    <t>sum of finance</t>
  </si>
  <si>
    <t>sum of sales</t>
  </si>
  <si>
    <t>sum of procurement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</si>
</sst>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86B07-6137-4A2E-B16A-6D2DC6883CC9}">
  <dimension ref="A2:D23"/>
  <sheetViews>
    <sheetView tabSelected="1" topLeftCell="A2" workbookViewId="0">
      <selection activeCell="A2" sqref="A2"/>
    </sheetView>
  </sheetViews>
  <sheetFormatPr defaultRowHeight="14.5" x14ac:dyDescent="0.35"/>
  <cols>
    <col min="1" max="1" width="14.6328125" customWidth="1"/>
    <col min="2" max="2" width="20.6328125" customWidth="1"/>
    <col min="3" max="3" width="15.6328125" customWidth="1"/>
  </cols>
  <sheetData>
    <row r="2" spans="1:4" x14ac:dyDescent="0.35">
      <c r="A2" t="s">
        <v>0</v>
      </c>
      <c r="B2" t="s">
        <v>1</v>
      </c>
      <c r="C2" t="s">
        <v>2</v>
      </c>
    </row>
    <row r="3" spans="1:4" x14ac:dyDescent="0.35">
      <c r="A3" t="s">
        <v>3</v>
      </c>
      <c r="B3" t="s">
        <v>4</v>
      </c>
      <c r="C3" s="1">
        <v>60270</v>
      </c>
    </row>
    <row r="4" spans="1:4" x14ac:dyDescent="0.35">
      <c r="A4" t="s">
        <v>5</v>
      </c>
      <c r="B4" t="s">
        <v>6</v>
      </c>
      <c r="C4" s="1">
        <v>39627</v>
      </c>
    </row>
    <row r="5" spans="1:4" x14ac:dyDescent="0.35">
      <c r="A5" t="s">
        <v>7</v>
      </c>
      <c r="B5" t="s">
        <v>8</v>
      </c>
      <c r="C5" s="1">
        <v>29727</v>
      </c>
    </row>
    <row r="6" spans="1:4" x14ac:dyDescent="0.35">
      <c r="A6" t="s">
        <v>9</v>
      </c>
      <c r="B6" t="s">
        <v>10</v>
      </c>
      <c r="C6" s="1">
        <v>93668</v>
      </c>
    </row>
    <row r="7" spans="1:4" x14ac:dyDescent="0.35">
      <c r="A7" t="s">
        <v>11</v>
      </c>
      <c r="B7" t="s">
        <v>4</v>
      </c>
      <c r="C7" s="1">
        <v>134000</v>
      </c>
    </row>
    <row r="8" spans="1:4" x14ac:dyDescent="0.35">
      <c r="A8" t="s">
        <v>12</v>
      </c>
      <c r="B8" t="s">
        <v>10</v>
      </c>
      <c r="C8" s="1">
        <v>34808</v>
      </c>
    </row>
    <row r="9" spans="1:4" x14ac:dyDescent="0.35">
      <c r="A9" t="s">
        <v>13</v>
      </c>
      <c r="B9" t="s">
        <v>6</v>
      </c>
      <c r="C9" s="1">
        <v>134468</v>
      </c>
    </row>
    <row r="10" spans="1:4" x14ac:dyDescent="0.35">
      <c r="A10" t="s">
        <v>14</v>
      </c>
      <c r="B10" t="s">
        <v>15</v>
      </c>
      <c r="C10" s="1">
        <v>45000</v>
      </c>
    </row>
    <row r="11" spans="1:4" x14ac:dyDescent="0.35">
      <c r="B11" t="s">
        <v>16</v>
      </c>
      <c r="C11" s="1">
        <f>SUM(C3:C10)</f>
        <v>571568</v>
      </c>
    </row>
    <row r="12" spans="1:4" x14ac:dyDescent="0.35">
      <c r="B12" t="s">
        <v>25</v>
      </c>
      <c r="C12" s="1">
        <f>SUMIFS(C3:C10,B3:B10,"finance")</f>
        <v>223997</v>
      </c>
    </row>
    <row r="13" spans="1:4" x14ac:dyDescent="0.35">
      <c r="B13" t="s">
        <v>26</v>
      </c>
      <c r="C13" s="1">
        <f>SUMIFS(C3:C10,B3:B10,"sales")</f>
        <v>302571</v>
      </c>
    </row>
    <row r="14" spans="1:4" x14ac:dyDescent="0.35">
      <c r="B14" t="s">
        <v>27</v>
      </c>
      <c r="C14" s="1">
        <f>SUMIFS(C3:C10,B3:B10,"procurement")</f>
        <v>45000</v>
      </c>
    </row>
    <row r="15" spans="1:4" x14ac:dyDescent="0.35">
      <c r="C15" s="1"/>
      <c r="D15" s="1">
        <f>SUM(C12+C13+C14)</f>
        <v>571568</v>
      </c>
    </row>
    <row r="16" spans="1:4" x14ac:dyDescent="0.35">
      <c r="B16" t="s">
        <v>17</v>
      </c>
      <c r="C16" s="1">
        <f>AVERAGE(C3:C10)</f>
        <v>71446</v>
      </c>
    </row>
    <row r="17" spans="2:4" x14ac:dyDescent="0.35">
      <c r="B17" t="s">
        <v>18</v>
      </c>
      <c r="C17">
        <f>COUNT(C3:C10)</f>
        <v>8</v>
      </c>
    </row>
    <row r="18" spans="2:4" x14ac:dyDescent="0.35">
      <c r="B18" t="s">
        <v>19</v>
      </c>
      <c r="C18">
        <f>COUNTA(C3:C10)</f>
        <v>8</v>
      </c>
    </row>
    <row r="19" spans="2:4" x14ac:dyDescent="0.35">
      <c r="B19" t="s">
        <v>20</v>
      </c>
      <c r="C19" s="1">
        <f>MIN(C3:C10)</f>
        <v>29727</v>
      </c>
    </row>
    <row r="20" spans="2:4" x14ac:dyDescent="0.35">
      <c r="B20" t="s">
        <v>21</v>
      </c>
      <c r="C20" s="1">
        <f>MAX(C3:C10)</f>
        <v>134468</v>
      </c>
    </row>
    <row r="21" spans="2:4" x14ac:dyDescent="0.35">
      <c r="B21" t="s">
        <v>22</v>
      </c>
      <c r="D21">
        <f>AVERAGEIFS(C3:C10,B3:B10,"Sales")</f>
        <v>75642.75</v>
      </c>
    </row>
    <row r="22" spans="2:4" x14ac:dyDescent="0.35">
      <c r="B22" t="s">
        <v>22</v>
      </c>
      <c r="C22" t="s">
        <v>23</v>
      </c>
      <c r="D22">
        <f>AVERAGEIFS(C3:C10,B3:B10,"finance")</f>
        <v>74665.666666666672</v>
      </c>
    </row>
    <row r="23" spans="2:4" x14ac:dyDescent="0.35">
      <c r="B23" t="s">
        <v>24</v>
      </c>
      <c r="D23">
        <f>AVERAGEIFS(C3:C10,B3:B10,"procurement")</f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chidinma</dc:creator>
  <cp:lastModifiedBy>ADA chidinma</cp:lastModifiedBy>
  <dcterms:created xsi:type="dcterms:W3CDTF">2026-04-13T12:10:35Z</dcterms:created>
  <dcterms:modified xsi:type="dcterms:W3CDTF">2026-04-16T09:08:28Z</dcterms:modified>
</cp:coreProperties>
</file>